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:\PRIBADI\BINUS\Paper\Zakat Fitrah\data\"/>
    </mc:Choice>
  </mc:AlternateContent>
  <xr:revisionPtr revIDLastSave="0" documentId="13_ncr:1_{1EAEC7F0-BC22-4FA6-8E03-9AD36DEBD4B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" i="1" l="1"/>
  <c r="I1" i="1"/>
  <c r="C11" i="1"/>
  <c r="E11" i="1"/>
  <c r="D11" i="1"/>
  <c r="D19" i="1"/>
  <c r="F17" i="1"/>
  <c r="F18" i="1"/>
  <c r="F16" i="1"/>
  <c r="F15" i="1"/>
  <c r="E15" i="1"/>
  <c r="E19" i="1" s="1"/>
  <c r="E24" i="1" s="1"/>
  <c r="E4" i="1"/>
  <c r="E5" i="1" s="1"/>
  <c r="C5" i="1"/>
  <c r="D3" i="1"/>
  <c r="D5" i="1" s="1"/>
  <c r="D23" i="1" s="1"/>
  <c r="E23" i="1" l="1"/>
  <c r="E25" i="1"/>
  <c r="F19" i="1"/>
  <c r="D24" i="1" s="1"/>
  <c r="D25" i="1" s="1"/>
</calcChain>
</file>

<file path=xl/sharedStrings.xml><?xml version="1.0" encoding="utf-8"?>
<sst xmlns="http://schemas.openxmlformats.org/spreadsheetml/2006/main" count="47" uniqueCount="31">
  <si>
    <t>No.</t>
  </si>
  <si>
    <t>Rupiah</t>
  </si>
  <si>
    <t>Kilogram</t>
  </si>
  <si>
    <t>Zakat Collection</t>
  </si>
  <si>
    <t>Collection</t>
  </si>
  <si>
    <t>The number of Donors</t>
  </si>
  <si>
    <t>Total of Rice</t>
  </si>
  <si>
    <t>Unit</t>
  </si>
  <si>
    <t>Zakat al fitr rice</t>
  </si>
  <si>
    <t>Total of Collection</t>
  </si>
  <si>
    <t>Charity Collection</t>
  </si>
  <si>
    <t>Charity rice</t>
  </si>
  <si>
    <t>Total of Zakat Collection</t>
  </si>
  <si>
    <t>Total of Charity Collection</t>
  </si>
  <si>
    <t>Receipent Type</t>
  </si>
  <si>
    <t>Zakat &amp; Charity Distribution</t>
  </si>
  <si>
    <t>Note</t>
  </si>
  <si>
    <t>Number of Receipent</t>
  </si>
  <si>
    <t>Zakat al fitr cash</t>
  </si>
  <si>
    <t>Charity cash</t>
  </si>
  <si>
    <t>Total of Cash</t>
  </si>
  <si>
    <t>The poor</t>
  </si>
  <si>
    <t>The destitute</t>
  </si>
  <si>
    <t>Poor &amp; needy around housing</t>
  </si>
  <si>
    <t>Housekeeper &amp; Security, Housing cleaning workers.</t>
  </si>
  <si>
    <t>Distribution of zakat fitrah to the blind.</t>
  </si>
  <si>
    <t>Distribution of zakat fitrah to nursing homes.</t>
  </si>
  <si>
    <t>Total of Distribution</t>
  </si>
  <si>
    <t>Balance</t>
  </si>
  <si>
    <t>Summary of Zakat</t>
  </si>
  <si>
    <t>Price of zakat: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</si>
</sst>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5" formatCode="&quot;Rp&quot;#,##0;\-&quot;Rp&quot;#,##0"/>
    <numFmt numFmtId="41" formatCode="_-* #,##0_-;\-* #,##0_-;_-* &quot;-&quot;_-;_-@_-"/>
    <numFmt numFmtId="164" formatCode="0\ &quot; Kg&quot;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/>
    <xf numFmtId="0" fontId="0" fillId="0" borderId="2" xfId="0" applyBorder="1"/>
    <xf numFmtId="41" fontId="0" fillId="0" borderId="1" xfId="1" applyFont="1" applyBorder="1"/>
    <xf numFmtId="41" fontId="2" fillId="0" borderId="0" xfId="0" applyNumberFormat="1" applyFont="1"/>
    <xf numFmtId="164" fontId="2" fillId="0" borderId="0" xfId="0" applyNumberFormat="1" applyFont="1"/>
    <xf numFmtId="5" fontId="2" fillId="0" borderId="0" xfId="0" applyNumberFormat="1" applyFont="1"/>
    <xf numFmtId="164" fontId="0" fillId="0" borderId="1" xfId="1" applyNumberFormat="1" applyFont="1" applyBorder="1"/>
    <xf numFmtId="0" fontId="2" fillId="0" borderId="4" xfId="0" applyFont="1" applyBorder="1"/>
    <xf numFmtId="0" fontId="2" fillId="0" borderId="0" xfId="0" applyFont="1" applyBorder="1"/>
    <xf numFmtId="0" fontId="2" fillId="0" borderId="1" xfId="0" applyFont="1" applyBorder="1"/>
    <xf numFmtId="0" fontId="0" fillId="0" borderId="0" xfId="0" applyBorder="1"/>
    <xf numFmtId="0" fontId="2" fillId="0" borderId="1" xfId="0" applyFont="1" applyBorder="1" applyAlignment="1">
      <alignment horizontal="center"/>
    </xf>
    <xf numFmtId="0" fontId="0" fillId="0" borderId="5" xfId="0" applyBorder="1"/>
    <xf numFmtId="0" fontId="0" fillId="0" borderId="6" xfId="0" applyFont="1" applyBorder="1"/>
    <xf numFmtId="0" fontId="0" fillId="0" borderId="6" xfId="0" applyBorder="1"/>
    <xf numFmtId="0" fontId="0" fillId="0" borderId="3" xfId="0" applyBorder="1"/>
    <xf numFmtId="164" fontId="2" fillId="0" borderId="1" xfId="0" applyNumberFormat="1" applyFont="1" applyBorder="1" applyAlignment="1">
      <alignment horizontal="center"/>
    </xf>
    <xf numFmtId="5" fontId="2" fillId="0" borderId="1" xfId="0" applyNumberFormat="1" applyFont="1" applyBorder="1" applyAlignment="1">
      <alignment horizontal="center"/>
    </xf>
    <xf numFmtId="5" fontId="0" fillId="0" borderId="0" xfId="0" applyNumberFormat="1"/>
    <xf numFmtId="164" fontId="0" fillId="0" borderId="1" xfId="0" applyNumberFormat="1" applyFont="1" applyBorder="1" applyAlignment="1">
      <alignment horizontal="center"/>
    </xf>
    <xf numFmtId="5" fontId="0" fillId="0" borderId="1" xfId="0" applyNumberFormat="1" applyFont="1" applyBorder="1" applyAlignment="1">
      <alignment horizont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showGridLines="0" tabSelected="1" workbookViewId="0">
      <selection activeCell="I31" sqref="I31"/>
    </sheetView>
  </sheetViews>
  <sheetFormatPr defaultRowHeight="15" x14ac:dyDescent="0.25"/>
  <cols>
    <col min="1" max="1" width="4.7109375" customWidth="1"/>
    <col min="2" max="2" width="19" customWidth="1"/>
    <col min="3" max="3" width="45.85546875" customWidth="1"/>
    <col min="4" max="4" width="20.5703125" customWidth="1"/>
    <col min="5" max="5" width="17" bestFit="1" customWidth="1"/>
    <col min="6" max="6" width="12.5703125" bestFit="1" customWidth="1"/>
    <col min="8" max="8" width="4.28515625" customWidth="1"/>
    <col min="9" max="9" width="16.5703125" customWidth="1"/>
    <col min="10" max="10" width="41" bestFit="1" customWidth="1"/>
    <col min="11" max="11" width="16.42578125" bestFit="1" customWidth="1"/>
    <col min="12" max="12" width="12.140625" bestFit="1" customWidth="1"/>
    <col min="13" max="13" width="12.5703125" bestFit="1" customWidth="1"/>
  </cols>
  <sheetData>
    <row r="1" spans="1:9" x14ac:dyDescent="0.25">
      <c r="A1" s="7" t="s">
        <v>3</v>
      </c>
      <c r="B1" s="8"/>
      <c r="C1" s="8"/>
      <c r="D1" s="8">
        <v>2.5</v>
      </c>
      <c r="E1" s="8" t="s">
        <v>30</v>
      </c>
      <c r="F1" s="12">
        <v>37500</v>
      </c>
      <c r="I1">
        <f>843*2</f>
        <v>1686</v>
      </c>
    </row>
    <row r="2" spans="1:9" ht="33" customHeight="1" x14ac:dyDescent="0.25">
      <c r="A2" s="4" t="s">
        <v>0</v>
      </c>
      <c r="B2" s="4" t="s">
        <v>4</v>
      </c>
      <c r="C2" s="4" t="s">
        <v>5</v>
      </c>
      <c r="D2" s="4" t="s">
        <v>6</v>
      </c>
      <c r="E2" s="4" t="s">
        <v>20</v>
      </c>
      <c r="F2" s="4" t="s">
        <v>7</v>
      </c>
      <c r="G2" s="2"/>
      <c r="I2">
        <f>509*2</f>
        <v>1018</v>
      </c>
    </row>
    <row r="3" spans="1:9" x14ac:dyDescent="0.25">
      <c r="A3" s="5">
        <v>1</v>
      </c>
      <c r="B3" s="3" t="s">
        <v>8</v>
      </c>
      <c r="C3" s="3">
        <v>350</v>
      </c>
      <c r="D3" s="9">
        <f>D1*C3</f>
        <v>875</v>
      </c>
      <c r="E3" s="9"/>
      <c r="F3" s="3" t="s">
        <v>2</v>
      </c>
    </row>
    <row r="4" spans="1:9" x14ac:dyDescent="0.25">
      <c r="A4" s="5">
        <v>2</v>
      </c>
      <c r="B4" s="3" t="s">
        <v>18</v>
      </c>
      <c r="C4" s="3">
        <v>200</v>
      </c>
      <c r="D4" s="9"/>
      <c r="E4" s="9">
        <f>C4*F1</f>
        <v>7500000</v>
      </c>
      <c r="F4" s="3" t="s">
        <v>1</v>
      </c>
    </row>
    <row r="5" spans="1:9" x14ac:dyDescent="0.25">
      <c r="A5" s="1" t="s">
        <v>12</v>
      </c>
      <c r="C5" s="1">
        <f>SUM(C3:C4)</f>
        <v>550</v>
      </c>
      <c r="D5" s="11">
        <f>SUM(D3:D4)</f>
        <v>875</v>
      </c>
      <c r="E5" s="12">
        <f>SUM(E3:E4)</f>
        <v>7500000</v>
      </c>
    </row>
    <row r="6" spans="1:9" ht="9.9499999999999993" customHeight="1" x14ac:dyDescent="0.25">
      <c r="A6" s="15"/>
      <c r="C6" s="1"/>
      <c r="D6" s="11"/>
      <c r="E6" s="12"/>
    </row>
    <row r="7" spans="1:9" x14ac:dyDescent="0.25">
      <c r="A7" s="14" t="s">
        <v>10</v>
      </c>
      <c r="B7" s="8"/>
      <c r="C7" s="8"/>
      <c r="D7" s="8"/>
      <c r="E7" s="8"/>
      <c r="F7" s="8"/>
    </row>
    <row r="8" spans="1:9" x14ac:dyDescent="0.25">
      <c r="A8" s="4" t="s">
        <v>0</v>
      </c>
      <c r="B8" s="4" t="s">
        <v>4</v>
      </c>
      <c r="C8" s="4" t="s">
        <v>5</v>
      </c>
      <c r="D8" s="4" t="s">
        <v>6</v>
      </c>
      <c r="E8" s="4" t="s">
        <v>20</v>
      </c>
      <c r="F8" s="4" t="s">
        <v>7</v>
      </c>
    </row>
    <row r="9" spans="1:9" x14ac:dyDescent="0.25">
      <c r="A9" s="5">
        <v>1</v>
      </c>
      <c r="B9" s="3" t="s">
        <v>11</v>
      </c>
      <c r="C9" s="3">
        <v>10</v>
      </c>
      <c r="D9" s="9">
        <v>45</v>
      </c>
      <c r="E9" s="9"/>
      <c r="F9" s="3" t="s">
        <v>2</v>
      </c>
    </row>
    <row r="10" spans="1:9" x14ac:dyDescent="0.25">
      <c r="A10" s="5">
        <v>2</v>
      </c>
      <c r="B10" s="3" t="s">
        <v>19</v>
      </c>
      <c r="C10" s="3">
        <v>20</v>
      </c>
      <c r="D10" s="9"/>
      <c r="E10" s="9">
        <v>560000</v>
      </c>
      <c r="F10" s="3" t="s">
        <v>1</v>
      </c>
      <c r="I10" s="25"/>
    </row>
    <row r="11" spans="1:9" x14ac:dyDescent="0.25">
      <c r="A11" s="1" t="s">
        <v>13</v>
      </c>
      <c r="C11" s="1">
        <f>SUM(C9:C10)</f>
        <v>30</v>
      </c>
      <c r="D11" s="11">
        <f>SUM(D9:D10)</f>
        <v>45</v>
      </c>
      <c r="E11" s="12">
        <f>SUM(E9:E10)</f>
        <v>560000</v>
      </c>
    </row>
    <row r="12" spans="1:9" ht="9.9499999999999993" customHeight="1" x14ac:dyDescent="0.25">
      <c r="A12" s="1"/>
      <c r="C12" s="1"/>
      <c r="D12" s="11"/>
      <c r="E12" s="12"/>
    </row>
    <row r="13" spans="1:9" x14ac:dyDescent="0.25">
      <c r="A13" s="1" t="s">
        <v>15</v>
      </c>
    </row>
    <row r="14" spans="1:9" x14ac:dyDescent="0.25">
      <c r="A14" s="4" t="s">
        <v>0</v>
      </c>
      <c r="B14" s="6" t="s">
        <v>14</v>
      </c>
      <c r="C14" s="4" t="s">
        <v>16</v>
      </c>
      <c r="D14" s="4" t="s">
        <v>17</v>
      </c>
      <c r="E14" s="4" t="s">
        <v>20</v>
      </c>
      <c r="F14" s="4" t="s">
        <v>6</v>
      </c>
    </row>
    <row r="15" spans="1:9" x14ac:dyDescent="0.25">
      <c r="A15" s="5">
        <v>1</v>
      </c>
      <c r="B15" s="3" t="s">
        <v>21</v>
      </c>
      <c r="C15" s="3" t="s">
        <v>24</v>
      </c>
      <c r="D15" s="3">
        <v>25</v>
      </c>
      <c r="E15" s="9">
        <f>D15*F1*2</f>
        <v>1875000</v>
      </c>
      <c r="F15" s="13">
        <f>D15*2.5*2</f>
        <v>125</v>
      </c>
    </row>
    <row r="16" spans="1:9" x14ac:dyDescent="0.25">
      <c r="A16" s="5">
        <v>2</v>
      </c>
      <c r="B16" s="3" t="s">
        <v>22</v>
      </c>
      <c r="C16" s="3" t="s">
        <v>23</v>
      </c>
      <c r="D16" s="3">
        <v>256</v>
      </c>
      <c r="E16" s="9">
        <v>4750000</v>
      </c>
      <c r="F16" s="13">
        <f>D16*2.5</f>
        <v>640</v>
      </c>
    </row>
    <row r="17" spans="1:6" x14ac:dyDescent="0.25">
      <c r="A17" s="5">
        <v>3</v>
      </c>
      <c r="B17" s="3" t="s">
        <v>22</v>
      </c>
      <c r="C17" s="3" t="s">
        <v>25</v>
      </c>
      <c r="D17" s="3">
        <v>3</v>
      </c>
      <c r="E17" s="9">
        <v>435000</v>
      </c>
      <c r="F17" s="13">
        <f>D17*2.5*4</f>
        <v>30</v>
      </c>
    </row>
    <row r="18" spans="1:6" x14ac:dyDescent="0.25">
      <c r="A18" s="5">
        <v>4</v>
      </c>
      <c r="B18" s="3" t="s">
        <v>22</v>
      </c>
      <c r="C18" s="3" t="s">
        <v>26</v>
      </c>
      <c r="D18" s="3">
        <v>50</v>
      </c>
      <c r="E18" s="9">
        <v>1000000</v>
      </c>
      <c r="F18" s="13">
        <f t="shared" ref="F18" si="0">D18*2.5</f>
        <v>125</v>
      </c>
    </row>
    <row r="19" spans="1:6" x14ac:dyDescent="0.25">
      <c r="A19" s="1" t="s">
        <v>27</v>
      </c>
      <c r="D19" s="1">
        <f>SUM(D15:D18)</f>
        <v>334</v>
      </c>
      <c r="E19" s="10">
        <f>SUM(E15:E18)</f>
        <v>8060000</v>
      </c>
      <c r="F19" s="11">
        <f>SUM(F15:F18)</f>
        <v>920</v>
      </c>
    </row>
    <row r="20" spans="1:6" ht="9.9499999999999993" customHeight="1" x14ac:dyDescent="0.25">
      <c r="A20" s="1"/>
      <c r="D20" s="1"/>
      <c r="E20" s="10"/>
      <c r="F20" s="11"/>
    </row>
    <row r="21" spans="1:6" x14ac:dyDescent="0.25">
      <c r="A21" s="1" t="s">
        <v>29</v>
      </c>
    </row>
    <row r="22" spans="1:6" x14ac:dyDescent="0.25">
      <c r="A22" s="22"/>
      <c r="B22" s="19"/>
      <c r="C22" s="19"/>
      <c r="D22" s="18" t="s">
        <v>6</v>
      </c>
      <c r="E22" s="18" t="s">
        <v>20</v>
      </c>
      <c r="F22" s="3"/>
    </row>
    <row r="23" spans="1:6" x14ac:dyDescent="0.25">
      <c r="A23" s="20" t="s">
        <v>9</v>
      </c>
      <c r="B23" s="21"/>
      <c r="C23" s="3"/>
      <c r="D23" s="26">
        <f>D5+D11</f>
        <v>920</v>
      </c>
      <c r="E23" s="27">
        <f>E5+E11</f>
        <v>8060000</v>
      </c>
      <c r="F23" s="3"/>
    </row>
    <row r="24" spans="1:6" x14ac:dyDescent="0.25">
      <c r="A24" s="3" t="s">
        <v>27</v>
      </c>
      <c r="B24" s="3"/>
      <c r="C24" s="3"/>
      <c r="D24" s="26">
        <f>F19</f>
        <v>920</v>
      </c>
      <c r="E24" s="27">
        <f>E19</f>
        <v>8060000</v>
      </c>
      <c r="F24" s="3"/>
    </row>
    <row r="25" spans="1:6" x14ac:dyDescent="0.25">
      <c r="A25" s="16" t="s">
        <v>28</v>
      </c>
      <c r="B25" s="16"/>
      <c r="C25" s="16"/>
      <c r="D25" s="23">
        <f>D23-D24</f>
        <v>0</v>
      </c>
      <c r="E25" s="24">
        <f>E23-E24</f>
        <v>0</v>
      </c>
      <c r="F25" s="3"/>
    </row>
    <row r="26" spans="1:6" x14ac:dyDescent="0.25">
      <c r="A26" s="17"/>
      <c r="B26" s="17"/>
      <c r="C26" s="17"/>
      <c r="D26" s="17"/>
      <c r="E26" s="17"/>
      <c r="F26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KREATOR</dc:creator>
  <cp:lastModifiedBy>KREATOR</cp:lastModifiedBy>
  <dcterms:created xsi:type="dcterms:W3CDTF">2015-06-05T18:17:20Z</dcterms:created>
  <dcterms:modified xsi:type="dcterms:W3CDTF">2026-05-03T05:43:21Z</dcterms:modified>
</cp:coreProperties>
</file>